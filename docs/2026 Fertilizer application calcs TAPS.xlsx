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lostate.sharepoint.com/sites/AWQP_Sharepoint/Shared Documents/Water_Quality_Project/Research/TAPS/2026/TAPS Faculty Team 2026/"/>
    </mc:Choice>
  </mc:AlternateContent>
  <xr:revisionPtr revIDLastSave="849" documentId="8_{E57D62DE-BAB5-4BDD-94D4-D230687FDE32}" xr6:coauthVersionLast="47" xr6:coauthVersionMax="47" xr10:uidLastSave="{B57966E6-9396-4DEA-A71C-9AEE46FE8A1E}"/>
  <bookViews>
    <workbookView xWindow="28680" yWindow="-120" windowWidth="29040" windowHeight="15720" xr2:uid="{7BC65934-4970-4B73-85BA-539324F76692}"/>
  </bookViews>
  <sheets>
    <sheet name="Competitive Plot" sheetId="1" r:id="rId1"/>
    <sheet name="Notes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1" l="1"/>
  <c r="A25" i="1" s="1"/>
  <c r="K13" i="1"/>
  <c r="K16" i="1" s="1"/>
  <c r="A19" i="1"/>
  <c r="A9" i="1"/>
  <c r="C34" i="1"/>
  <c r="C33" i="1"/>
  <c r="A8" i="1" l="1"/>
  <c r="A37" i="1" s="1"/>
  <c r="D37" i="1" l="1"/>
  <c r="D40" i="1" s="1"/>
  <c r="D43" i="1" s="1"/>
  <c r="A52" i="1"/>
  <c r="D52" i="1" l="1"/>
  <c r="D46" i="1"/>
  <c r="D49" i="1" s="1"/>
</calcChain>
</file>

<file path=xl/sharedStrings.xml><?xml version="1.0" encoding="utf-8"?>
<sst xmlns="http://schemas.openxmlformats.org/spreadsheetml/2006/main" count="82" uniqueCount="64">
  <si>
    <t>Using CSU Corn Fert Guide</t>
  </si>
  <si>
    <t>U of Minn. Fertigation Recommendations</t>
  </si>
  <si>
    <t>Assuminptions and Given Information</t>
  </si>
  <si>
    <t>Plot Size (area)</t>
  </si>
  <si>
    <t>acres</t>
  </si>
  <si>
    <t>sq. ft.</t>
  </si>
  <si>
    <t>Irrigation applied up until tassling (in.) - assuming to have occurred on July 25</t>
  </si>
  <si>
    <t>in.</t>
  </si>
  <si>
    <t>ppm N</t>
  </si>
  <si>
    <t>&lt;- from irrigation water</t>
  </si>
  <si>
    <t>Yield goal</t>
  </si>
  <si>
    <t>bu/ac</t>
  </si>
  <si>
    <t>Existing N and P calcs from fall N sampling (0-24")</t>
  </si>
  <si>
    <t>Resulting fert. Requirements for all plots</t>
  </si>
  <si>
    <t>N to bu. Factor</t>
  </si>
  <si>
    <t>Organic matter (%)</t>
  </si>
  <si>
    <t>N lb/ac</t>
  </si>
  <si>
    <t>P lb/ac</t>
  </si>
  <si>
    <t>Please Note: Existing values are based on AJ's initial reccomendations. Subject to change</t>
  </si>
  <si>
    <t>N Fert Applications (User defined)</t>
  </si>
  <si>
    <t>Dry blend (Applied in late April)</t>
  </si>
  <si>
    <t>lbs N/ac</t>
  </si>
  <si>
    <t>lbs P/ac</t>
  </si>
  <si>
    <t>lbs/gal</t>
  </si>
  <si>
    <t>lbs/N/acre</t>
  </si>
  <si>
    <t>lbs/P/acre</t>
  </si>
  <si>
    <t>Irrigation N (prior to tassel)</t>
  </si>
  <si>
    <t>=vol. of water * conc.</t>
  </si>
  <si>
    <t>Remaining after</t>
  </si>
  <si>
    <t>Side Dress (50 lb increments)</t>
  </si>
  <si>
    <t>Total  N Applied</t>
  </si>
  <si>
    <t>Diff. from optimal</t>
  </si>
  <si>
    <t>Notes</t>
  </si>
  <si>
    <t>User input required</t>
  </si>
  <si>
    <t>Output cell</t>
  </si>
  <si>
    <t>ppm P (NaHCO3 extraction)</t>
  </si>
  <si>
    <t>Length (feet)</t>
  </si>
  <si>
    <t>width (feet)</t>
  </si>
  <si>
    <t>Starter Fertilizer (cannot change)</t>
  </si>
  <si>
    <t>Do not change unless you are a researcher</t>
  </si>
  <si>
    <t>UNL N Fert Pub</t>
  </si>
  <si>
    <t>Fertigation 1 (July 8, 2023)</t>
  </si>
  <si>
    <t>Fertigation 2 (Jul 30, 2025)</t>
  </si>
  <si>
    <t>Fertigation 3 (Aug 12, 2023)</t>
  </si>
  <si>
    <t>TAPS Fertilizer Calculations for 2026</t>
  </si>
  <si>
    <t>gallons of OptiStart Gold per acre (6N-20P-5K-2S-0.05Mn-0.1Zn)</t>
  </si>
  <si>
    <t>&lt;- total N needed minus existing soil N (CSU corn fert eq.)</t>
  </si>
  <si>
    <t>40 banded / 80 broadcast</t>
  </si>
  <si>
    <t>&lt;- total P needed based on CSU corn fert guide table 4</t>
  </si>
  <si>
    <t>corn basal N</t>
  </si>
  <si>
    <t>31% reduction for Donovan</t>
  </si>
  <si>
    <t>lb N/ac</t>
  </si>
  <si>
    <t>Plot</t>
  </si>
  <si>
    <t>Residual N</t>
  </si>
  <si>
    <t>Side-dress N</t>
  </si>
  <si>
    <t>Fertigation N</t>
  </si>
  <si>
    <t>OptiStart N</t>
  </si>
  <si>
    <t>Irrigation N to tasseling*</t>
  </si>
  <si>
    <t>Projected total N availability at tasseling</t>
  </si>
  <si>
    <t>Basal N target, 168 bu/ac</t>
  </si>
  <si>
    <t>Donovan-adjusted target</t>
  </si>
  <si>
    <t>Difference from adjusted target</t>
  </si>
  <si>
    <t>−17.30</t>
  </si>
  <si>
    <t>−24.60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</si>
</sst>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000000"/>
      <name val="Aptos"/>
      <family val="2"/>
    </font>
    <font>
      <sz val="11"/>
      <color rgb="FF000000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C99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2" borderId="1" applyNumberFormat="0" applyAlignment="0" applyProtection="0"/>
    <xf numFmtId="0" fontId="7" fillId="4" borderId="1" applyNumberFormat="0" applyAlignment="0" applyProtection="0"/>
  </cellStyleXfs>
  <cellXfs count="42">
    <xf numFmtId="0" fontId="0" fillId="0" borderId="0" xfId="0"/>
    <xf numFmtId="0" fontId="2" fillId="0" borderId="0" xfId="1"/>
    <xf numFmtId="0" fontId="0" fillId="3" borderId="2" xfId="0" applyFill="1" applyBorder="1"/>
    <xf numFmtId="0" fontId="6" fillId="0" borderId="0" xfId="0" applyFont="1"/>
    <xf numFmtId="0" fontId="5" fillId="5" borderId="3" xfId="0" applyFont="1" applyFill="1" applyBorder="1"/>
    <xf numFmtId="0" fontId="0" fillId="5" borderId="4" xfId="0" applyFill="1" applyBorder="1"/>
    <xf numFmtId="0" fontId="0" fillId="5" borderId="5" xfId="0" applyFill="1" applyBorder="1"/>
    <xf numFmtId="0" fontId="1" fillId="5" borderId="6" xfId="0" applyFont="1" applyFill="1" applyBorder="1"/>
    <xf numFmtId="0" fontId="0" fillId="5" borderId="0" xfId="0" applyFill="1"/>
    <xf numFmtId="0" fontId="2" fillId="5" borderId="0" xfId="1" applyFill="1" applyBorder="1"/>
    <xf numFmtId="0" fontId="0" fillId="5" borderId="7" xfId="0" applyFill="1" applyBorder="1"/>
    <xf numFmtId="0" fontId="0" fillId="5" borderId="6" xfId="0" applyFill="1" applyBorder="1"/>
    <xf numFmtId="0" fontId="1" fillId="5" borderId="0" xfId="0" applyFont="1" applyFill="1"/>
    <xf numFmtId="0" fontId="0" fillId="5" borderId="10" xfId="0" applyFill="1" applyBorder="1"/>
    <xf numFmtId="0" fontId="0" fillId="5" borderId="11" xfId="0" applyFill="1" applyBorder="1"/>
    <xf numFmtId="0" fontId="0" fillId="6" borderId="4" xfId="0" applyFill="1" applyBorder="1"/>
    <xf numFmtId="0" fontId="3" fillId="2" borderId="1" xfId="2"/>
    <xf numFmtId="0" fontId="0" fillId="6" borderId="8" xfId="0" applyFill="1" applyBorder="1"/>
    <xf numFmtId="0" fontId="0" fillId="6" borderId="8" xfId="0" applyFill="1" applyBorder="1" applyAlignment="1">
      <alignment horizontal="right"/>
    </xf>
    <xf numFmtId="164" fontId="3" fillId="2" borderId="1" xfId="2" applyNumberFormat="1"/>
    <xf numFmtId="0" fontId="7" fillId="4" borderId="1" xfId="3"/>
    <xf numFmtId="0" fontId="5" fillId="3" borderId="3" xfId="0" applyFont="1" applyFill="1" applyBorder="1"/>
    <xf numFmtId="0" fontId="0" fillId="3" borderId="4" xfId="0" applyFill="1" applyBorder="1"/>
    <xf numFmtId="0" fontId="0" fillId="3" borderId="5" xfId="0" applyFill="1" applyBorder="1"/>
    <xf numFmtId="0" fontId="1" fillId="3" borderId="6" xfId="0" applyFont="1" applyFill="1" applyBorder="1"/>
    <xf numFmtId="0" fontId="0" fillId="3" borderId="0" xfId="0" applyFill="1"/>
    <xf numFmtId="0" fontId="1" fillId="3" borderId="0" xfId="0" applyFont="1" applyFill="1"/>
    <xf numFmtId="0" fontId="0" fillId="3" borderId="7" xfId="0" applyFill="1" applyBorder="1"/>
    <xf numFmtId="0" fontId="0" fillId="3" borderId="6" xfId="0" applyFill="1" applyBorder="1"/>
    <xf numFmtId="0" fontId="0" fillId="3" borderId="0" xfId="0" quotePrefix="1" applyFill="1"/>
    <xf numFmtId="2" fontId="3" fillId="2" borderId="12" xfId="2" applyNumberFormat="1" applyBorder="1"/>
    <xf numFmtId="0" fontId="0" fillId="3" borderId="13" xfId="0" applyFill="1" applyBorder="1"/>
    <xf numFmtId="0" fontId="0" fillId="3" borderId="14" xfId="0" applyFill="1" applyBorder="1"/>
    <xf numFmtId="0" fontId="4" fillId="3" borderId="6" xfId="0" applyFont="1" applyFill="1" applyBorder="1"/>
    <xf numFmtId="2" fontId="3" fillId="2" borderId="15" xfId="2" applyNumberFormat="1" applyBorder="1"/>
    <xf numFmtId="0" fontId="0" fillId="3" borderId="10" xfId="0" applyFill="1" applyBorder="1"/>
    <xf numFmtId="0" fontId="3" fillId="2" borderId="16" xfId="2" applyBorder="1"/>
    <xf numFmtId="0" fontId="0" fillId="3" borderId="11" xfId="0" applyFill="1" applyBorder="1"/>
    <xf numFmtId="0" fontId="0" fillId="6" borderId="9" xfId="0" applyFill="1" applyBorder="1" applyAlignment="1">
      <alignment horizontal="right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</cellXfs>
  <cellStyles count="4">
    <cellStyle name="Calculation" xfId="2" builtinId="22"/>
    <cellStyle name="Hyperlink" xfId="1" builtinId="8"/>
    <cellStyle name="Input" xfId="3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extensionpubs.unl.edu/publication/g2365/2024/pdf/view/g2365-2024.pd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495300</xdr:colOff>
      <xdr:row>32</xdr:row>
      <xdr:rowOff>57150</xdr:rowOff>
    </xdr:from>
    <xdr:to>
      <xdr:col>12</xdr:col>
      <xdr:colOff>295843</xdr:colOff>
      <xdr:row>48</xdr:row>
      <xdr:rowOff>171891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69203E-C1C9-6912-C3A0-C00F71276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76800" y="6505575"/>
          <a:ext cx="4067743" cy="3162741"/>
        </a:xfrm>
        <a:prstGeom prst="rect">
          <a:avLst/>
        </a:prstGeom>
      </xdr:spPr>
    </xdr:pic>
    <xdr:clientData/>
  </xdr:twoCellAnchor>
  <xdr:twoCellAnchor editAs="oneCell">
    <xdr:from>
      <xdr:col>13</xdr:col>
      <xdr:colOff>57150</xdr:colOff>
      <xdr:row>1</xdr:row>
      <xdr:rowOff>9525</xdr:rowOff>
    </xdr:from>
    <xdr:to>
      <xdr:col>20</xdr:col>
      <xdr:colOff>118485</xdr:colOff>
      <xdr:row>32</xdr:row>
      <xdr:rowOff>50061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EA5E4D1-0E80-43C1-9E53-0D1E737303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315450" y="371475"/>
          <a:ext cx="4328535" cy="61270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xtensionpubs.unl.edu/publication/g2365/2024/pdf/view/g2365-2024.pdf" TargetMode="External"/><Relationship Id="rId2" Type="http://schemas.openxmlformats.org/officeDocument/2006/relationships/hyperlink" Target="https://blog-crop-news.extension.umn.edu/2018/05/corn-fertigation-how-much-and-when.html" TargetMode="External"/><Relationship Id="rId1" Type="http://schemas.openxmlformats.org/officeDocument/2006/relationships/hyperlink" Target="https://erams.com/agnutrient/wp-content/uploads/2017/04/00538.pdf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A3811-43C2-45D5-BF19-28337CE00395}">
  <dimension ref="A1:M65"/>
  <sheetViews>
    <sheetView tabSelected="1" topLeftCell="A41" workbookViewId="0">
      <selection activeCell="L54" sqref="L54"/>
    </sheetView>
  </sheetViews>
  <sheetFormatPr defaultRowHeight="15" x14ac:dyDescent="0.25"/>
  <cols>
    <col min="1" max="1" width="29.140625" customWidth="1"/>
  </cols>
  <sheetData>
    <row r="1" spans="1:12" ht="28.5" x14ac:dyDescent="0.45">
      <c r="A1" s="3" t="s">
        <v>44</v>
      </c>
    </row>
    <row r="2" spans="1:12" x14ac:dyDescent="0.25">
      <c r="A2" s="1" t="s">
        <v>0</v>
      </c>
      <c r="B2" s="1" t="s">
        <v>1</v>
      </c>
      <c r="E2" s="1"/>
      <c r="G2" s="1" t="s">
        <v>40</v>
      </c>
    </row>
    <row r="3" spans="1:12" ht="15.75" thickBot="1" x14ac:dyDescent="0.3">
      <c r="A3" s="1"/>
      <c r="B3" s="1"/>
      <c r="E3" s="1"/>
    </row>
    <row r="4" spans="1:12" ht="21" x14ac:dyDescent="0.35">
      <c r="A4" s="4" t="s">
        <v>2</v>
      </c>
      <c r="B4" s="5"/>
      <c r="C4" s="5"/>
      <c r="D4" s="5"/>
      <c r="E4" s="5"/>
      <c r="F4" s="15" t="s">
        <v>33</v>
      </c>
      <c r="G4" s="15"/>
      <c r="H4" s="5"/>
      <c r="I4" s="5"/>
      <c r="J4" s="6"/>
    </row>
    <row r="5" spans="1:12" x14ac:dyDescent="0.25">
      <c r="A5" s="7" t="s">
        <v>3</v>
      </c>
      <c r="B5" s="8"/>
      <c r="C5" s="8"/>
      <c r="D5" s="8"/>
      <c r="E5" s="9"/>
      <c r="F5" s="16" t="s">
        <v>34</v>
      </c>
      <c r="G5" s="16"/>
      <c r="H5" s="8"/>
      <c r="I5" s="8"/>
      <c r="J5" s="10"/>
    </row>
    <row r="6" spans="1:12" x14ac:dyDescent="0.25">
      <c r="A6" s="17">
        <v>62.5</v>
      </c>
      <c r="B6" s="8" t="s">
        <v>36</v>
      </c>
      <c r="C6" s="8"/>
      <c r="D6" s="8"/>
      <c r="E6" s="9"/>
      <c r="F6" s="20" t="s">
        <v>39</v>
      </c>
      <c r="G6" s="20"/>
      <c r="H6" s="20"/>
      <c r="I6" s="20"/>
      <c r="J6" s="10"/>
    </row>
    <row r="7" spans="1:12" x14ac:dyDescent="0.25">
      <c r="A7" s="17">
        <v>45</v>
      </c>
      <c r="B7" s="8" t="s">
        <v>37</v>
      </c>
      <c r="C7" s="8"/>
      <c r="D7" s="8"/>
      <c r="E7" s="9"/>
      <c r="F7" s="8"/>
      <c r="G7" s="8"/>
      <c r="H7" s="8"/>
      <c r="I7" s="8"/>
      <c r="J7" s="10"/>
    </row>
    <row r="8" spans="1:12" x14ac:dyDescent="0.25">
      <c r="A8" s="19">
        <f>A9/43560</f>
        <v>6.4566115702479332E-2</v>
      </c>
      <c r="B8" s="8" t="s">
        <v>4</v>
      </c>
      <c r="C8" s="8"/>
      <c r="D8" s="8"/>
      <c r="E8" s="9"/>
      <c r="F8" s="8"/>
      <c r="G8" s="8"/>
      <c r="H8" s="8"/>
      <c r="I8" s="8"/>
      <c r="J8" s="10"/>
    </row>
    <row r="9" spans="1:12" x14ac:dyDescent="0.25">
      <c r="A9" s="16">
        <f>A6*A7</f>
        <v>2812.5</v>
      </c>
      <c r="B9" s="8" t="s">
        <v>5</v>
      </c>
      <c r="C9" s="8"/>
      <c r="D9" s="8"/>
      <c r="E9" s="9"/>
      <c r="F9" s="8"/>
      <c r="G9" s="8"/>
      <c r="H9" s="8"/>
      <c r="I9" s="8"/>
      <c r="J9" s="10"/>
    </row>
    <row r="10" spans="1:12" x14ac:dyDescent="0.25">
      <c r="A10" s="11"/>
      <c r="B10" s="8"/>
      <c r="C10" s="8"/>
      <c r="D10" s="8"/>
      <c r="E10" s="9"/>
      <c r="F10" s="8"/>
      <c r="G10" s="8"/>
      <c r="H10" s="8"/>
      <c r="I10" s="8"/>
      <c r="J10" s="10"/>
    </row>
    <row r="11" spans="1:12" x14ac:dyDescent="0.25">
      <c r="A11" s="7" t="s">
        <v>6</v>
      </c>
      <c r="B11" s="8"/>
      <c r="C11" s="8"/>
      <c r="D11" s="8"/>
      <c r="E11" s="9"/>
      <c r="F11" s="8"/>
      <c r="G11" s="8"/>
      <c r="H11" s="8"/>
      <c r="I11" s="8"/>
      <c r="J11" s="10"/>
    </row>
    <row r="12" spans="1:12" x14ac:dyDescent="0.25">
      <c r="A12" s="18">
        <v>6</v>
      </c>
      <c r="B12" s="8" t="s">
        <v>7</v>
      </c>
      <c r="C12" s="8"/>
      <c r="D12" s="8"/>
      <c r="E12" s="9"/>
      <c r="F12" s="8"/>
      <c r="G12" s="8"/>
      <c r="H12" s="8"/>
      <c r="I12" s="8"/>
      <c r="J12" s="10"/>
      <c r="K12" t="s">
        <v>49</v>
      </c>
    </row>
    <row r="13" spans="1:12" x14ac:dyDescent="0.25">
      <c r="A13" s="17">
        <v>10.8</v>
      </c>
      <c r="B13" s="8" t="s">
        <v>8</v>
      </c>
      <c r="C13" s="8" t="s">
        <v>9</v>
      </c>
      <c r="D13" s="8"/>
      <c r="E13" s="9"/>
      <c r="F13" s="8"/>
      <c r="G13" s="8"/>
      <c r="H13" s="8"/>
      <c r="I13" s="8"/>
      <c r="J13" s="10"/>
      <c r="K13">
        <f>35+(A16*A23)</f>
        <v>236.6</v>
      </c>
      <c r="L13" t="s">
        <v>51</v>
      </c>
    </row>
    <row r="14" spans="1:12" x14ac:dyDescent="0.25">
      <c r="A14" s="11"/>
      <c r="B14" s="8"/>
      <c r="C14" s="8"/>
      <c r="D14" s="8"/>
      <c r="E14" s="9"/>
      <c r="F14" s="8"/>
      <c r="G14" s="8"/>
      <c r="H14" s="8"/>
      <c r="I14" s="8"/>
      <c r="J14" s="10"/>
    </row>
    <row r="15" spans="1:12" x14ac:dyDescent="0.25">
      <c r="A15" s="7" t="s">
        <v>10</v>
      </c>
      <c r="B15" s="8"/>
      <c r="C15" s="8"/>
      <c r="D15" s="8"/>
      <c r="E15" s="9"/>
      <c r="F15" s="8"/>
      <c r="G15" s="8"/>
      <c r="H15" s="8"/>
      <c r="I15" s="8"/>
      <c r="J15" s="10"/>
      <c r="K15" t="s">
        <v>50</v>
      </c>
    </row>
    <row r="16" spans="1:12" x14ac:dyDescent="0.25">
      <c r="A16" s="17">
        <f>210*0.8</f>
        <v>168</v>
      </c>
      <c r="B16" s="8" t="s">
        <v>11</v>
      </c>
      <c r="C16" s="8"/>
      <c r="D16" s="8"/>
      <c r="E16" s="8"/>
      <c r="F16" s="8"/>
      <c r="G16" s="8"/>
      <c r="H16" s="8"/>
      <c r="I16" s="8"/>
      <c r="J16" s="10"/>
      <c r="K16">
        <f>K13*0.69</f>
        <v>163.25399999999999</v>
      </c>
      <c r="L16" t="s">
        <v>51</v>
      </c>
    </row>
    <row r="17" spans="1:10" x14ac:dyDescent="0.25">
      <c r="A17" s="11"/>
      <c r="B17" s="8"/>
      <c r="C17" s="8"/>
      <c r="D17" s="8"/>
      <c r="E17" s="8"/>
      <c r="F17" s="8"/>
      <c r="G17" s="8"/>
      <c r="H17" s="8"/>
      <c r="I17" s="8"/>
      <c r="J17" s="10"/>
    </row>
    <row r="18" spans="1:10" x14ac:dyDescent="0.25">
      <c r="A18" s="7" t="s">
        <v>12</v>
      </c>
      <c r="B18" s="8"/>
      <c r="C18" s="8"/>
      <c r="D18" s="8"/>
      <c r="E18" s="8"/>
      <c r="F18" s="8"/>
      <c r="G18" s="8"/>
      <c r="H18" s="8"/>
      <c r="I18" s="8"/>
      <c r="J18" s="10"/>
    </row>
    <row r="19" spans="1:10" x14ac:dyDescent="0.25">
      <c r="A19" s="17">
        <f>AVERAGE(117.3, 32, 64)*(8/24)+AVERAGE(69.3, 21.3, 32)*(16/24)</f>
        <v>50.944444444444443</v>
      </c>
      <c r="B19" s="8" t="s">
        <v>8</v>
      </c>
      <c r="C19" s="8"/>
      <c r="D19" s="8"/>
      <c r="E19" s="8"/>
      <c r="F19" s="8"/>
      <c r="G19" s="8"/>
      <c r="H19" s="8"/>
      <c r="I19" s="8"/>
      <c r="J19" s="10"/>
    </row>
    <row r="20" spans="1:10" x14ac:dyDescent="0.25">
      <c r="A20" s="17">
        <v>0</v>
      </c>
      <c r="B20" s="8" t="s">
        <v>35</v>
      </c>
      <c r="C20" s="8"/>
      <c r="D20" s="8"/>
      <c r="E20" s="8"/>
      <c r="F20" s="8"/>
      <c r="G20" s="8"/>
      <c r="H20" s="8"/>
      <c r="I20" s="8"/>
      <c r="J20" s="10"/>
    </row>
    <row r="21" spans="1:10" x14ac:dyDescent="0.25">
      <c r="A21" s="11"/>
      <c r="B21" s="8"/>
      <c r="C21" s="8"/>
      <c r="D21" s="8"/>
      <c r="E21" s="8"/>
      <c r="F21" s="8"/>
      <c r="G21" s="8"/>
      <c r="H21" s="8"/>
      <c r="I21" s="8"/>
      <c r="J21" s="10"/>
    </row>
    <row r="22" spans="1:10" x14ac:dyDescent="0.25">
      <c r="A22" s="7" t="s">
        <v>13</v>
      </c>
      <c r="B22" s="8"/>
      <c r="C22" s="8"/>
      <c r="D22" s="8"/>
      <c r="E22" s="8"/>
      <c r="F22" s="8"/>
      <c r="G22" s="8"/>
      <c r="H22" s="8"/>
      <c r="I22" s="8"/>
      <c r="J22" s="10"/>
    </row>
    <row r="23" spans="1:10" x14ac:dyDescent="0.25">
      <c r="A23" s="20">
        <v>1.2</v>
      </c>
      <c r="B23" s="8" t="s">
        <v>14</v>
      </c>
      <c r="C23" s="8"/>
      <c r="D23" s="8"/>
      <c r="E23" s="8"/>
      <c r="F23" s="8"/>
      <c r="G23" s="8"/>
      <c r="H23" s="8"/>
      <c r="I23" s="8"/>
      <c r="J23" s="10"/>
    </row>
    <row r="24" spans="1:10" x14ac:dyDescent="0.25">
      <c r="A24" s="17">
        <v>2.4</v>
      </c>
      <c r="B24" s="8" t="s">
        <v>15</v>
      </c>
      <c r="C24" s="8"/>
      <c r="D24" s="8"/>
      <c r="E24" s="8"/>
      <c r="F24" s="8"/>
      <c r="G24" s="8"/>
      <c r="H24" s="8"/>
      <c r="I24" s="8"/>
      <c r="J24" s="10"/>
    </row>
    <row r="25" spans="1:10" x14ac:dyDescent="0.25">
      <c r="A25" s="19">
        <f>35+(A16*A23)-A19-(0.14*A16*A24)</f>
        <v>129.20755555555556</v>
      </c>
      <c r="B25" s="12" t="s">
        <v>16</v>
      </c>
      <c r="C25" s="12" t="s">
        <v>46</v>
      </c>
      <c r="D25" s="12"/>
      <c r="E25" s="12"/>
      <c r="F25" s="12"/>
      <c r="G25" s="8"/>
      <c r="H25" s="8"/>
      <c r="I25" s="8"/>
      <c r="J25" s="10"/>
    </row>
    <row r="26" spans="1:10" ht="15.75" thickBot="1" x14ac:dyDescent="0.3">
      <c r="A26" s="38" t="s">
        <v>47</v>
      </c>
      <c r="B26" s="13" t="s">
        <v>17</v>
      </c>
      <c r="C26" s="13" t="s">
        <v>48</v>
      </c>
      <c r="D26" s="13"/>
      <c r="E26" s="13"/>
      <c r="F26" s="13"/>
      <c r="G26" s="13"/>
      <c r="H26" s="13"/>
      <c r="I26" s="13"/>
      <c r="J26" s="14"/>
    </row>
    <row r="28" spans="1:10" ht="15.75" thickBot="1" x14ac:dyDescent="0.3">
      <c r="A28" t="s">
        <v>18</v>
      </c>
    </row>
    <row r="29" spans="1:10" ht="21" x14ac:dyDescent="0.35">
      <c r="A29" s="21" t="s">
        <v>19</v>
      </c>
      <c r="B29" s="22"/>
      <c r="C29" s="22"/>
      <c r="D29" s="22"/>
      <c r="E29" s="23"/>
    </row>
    <row r="30" spans="1:10" x14ac:dyDescent="0.25">
      <c r="A30" s="24" t="s">
        <v>20</v>
      </c>
      <c r="B30" s="25"/>
      <c r="C30" s="26" t="s">
        <v>38</v>
      </c>
      <c r="D30" s="25"/>
      <c r="E30" s="27"/>
    </row>
    <row r="31" spans="1:10" x14ac:dyDescent="0.25">
      <c r="A31" s="17">
        <v>30</v>
      </c>
      <c r="B31" s="25" t="s">
        <v>21</v>
      </c>
      <c r="C31" s="20">
        <v>2.5</v>
      </c>
      <c r="D31" s="25" t="s">
        <v>45</v>
      </c>
      <c r="E31" s="27"/>
    </row>
    <row r="32" spans="1:10" x14ac:dyDescent="0.25">
      <c r="A32" s="17">
        <v>40</v>
      </c>
      <c r="B32" s="25" t="s">
        <v>22</v>
      </c>
      <c r="C32" s="20">
        <v>11</v>
      </c>
      <c r="D32" s="25" t="s">
        <v>23</v>
      </c>
      <c r="E32" s="27"/>
    </row>
    <row r="33" spans="1:6" x14ac:dyDescent="0.25">
      <c r="A33" s="28"/>
      <c r="B33" s="25"/>
      <c r="C33" s="16">
        <f>C31*C32*0.06</f>
        <v>1.65</v>
      </c>
      <c r="D33" s="25" t="s">
        <v>24</v>
      </c>
      <c r="E33" s="27"/>
    </row>
    <row r="34" spans="1:6" x14ac:dyDescent="0.25">
      <c r="A34" s="28"/>
      <c r="B34" s="25"/>
      <c r="C34" s="16">
        <f>C31*C32*0.2</f>
        <v>5.5</v>
      </c>
      <c r="D34" s="25" t="s">
        <v>25</v>
      </c>
      <c r="E34" s="27"/>
    </row>
    <row r="35" spans="1:6" x14ac:dyDescent="0.25">
      <c r="A35" s="28"/>
      <c r="B35" s="25"/>
      <c r="C35" s="25"/>
      <c r="D35" s="25"/>
      <c r="E35" s="27"/>
    </row>
    <row r="36" spans="1:6" x14ac:dyDescent="0.25">
      <c r="A36" s="24" t="s">
        <v>26</v>
      </c>
      <c r="B36" s="29" t="s">
        <v>27</v>
      </c>
      <c r="C36" s="25"/>
      <c r="D36" s="25" t="s">
        <v>28</v>
      </c>
      <c r="E36" s="27"/>
    </row>
    <row r="37" spans="1:6" x14ac:dyDescent="0.25">
      <c r="A37" s="30">
        <f>((((A9*144)*A12)*0.0163871)*A13)*0.00000220462/A8</f>
        <v>14.684569394743386</v>
      </c>
      <c r="B37" s="25" t="s">
        <v>21</v>
      </c>
      <c r="C37" s="25"/>
      <c r="D37" s="16">
        <f>A25-A31-A37-C33</f>
        <v>82.872986160812161</v>
      </c>
      <c r="E37" s="27" t="s">
        <v>21</v>
      </c>
    </row>
    <row r="38" spans="1:6" x14ac:dyDescent="0.25">
      <c r="A38" s="28"/>
      <c r="B38" s="25"/>
      <c r="C38" s="25"/>
      <c r="D38" s="25"/>
      <c r="E38" s="27"/>
    </row>
    <row r="39" spans="1:6" x14ac:dyDescent="0.25">
      <c r="A39" s="24" t="s">
        <v>29</v>
      </c>
      <c r="B39" s="25"/>
      <c r="C39" s="25"/>
      <c r="D39" s="25" t="s">
        <v>28</v>
      </c>
      <c r="E39" s="27"/>
    </row>
    <row r="40" spans="1:6" x14ac:dyDescent="0.25">
      <c r="A40" s="17">
        <v>75</v>
      </c>
      <c r="B40" s="25" t="s">
        <v>21</v>
      </c>
      <c r="C40" s="25"/>
      <c r="D40" s="16">
        <f>D37-A40</f>
        <v>7.872986160812161</v>
      </c>
      <c r="E40" s="27" t="s">
        <v>21</v>
      </c>
    </row>
    <row r="41" spans="1:6" x14ac:dyDescent="0.25">
      <c r="A41" s="28"/>
      <c r="B41" s="25"/>
      <c r="C41" s="25"/>
      <c r="D41" s="25"/>
      <c r="E41" s="27"/>
    </row>
    <row r="42" spans="1:6" x14ac:dyDescent="0.25">
      <c r="A42" s="24" t="s">
        <v>41</v>
      </c>
      <c r="B42" s="25"/>
      <c r="C42" s="25"/>
      <c r="D42" s="25" t="s">
        <v>28</v>
      </c>
      <c r="E42" s="27"/>
    </row>
    <row r="43" spans="1:6" x14ac:dyDescent="0.25">
      <c r="A43" s="17">
        <v>30</v>
      </c>
      <c r="B43" s="25" t="s">
        <v>21</v>
      </c>
      <c r="C43" s="25"/>
      <c r="D43" s="16">
        <f>D40-A43</f>
        <v>-22.127013839187839</v>
      </c>
      <c r="E43" s="27" t="s">
        <v>21</v>
      </c>
    </row>
    <row r="44" spans="1:6" x14ac:dyDescent="0.25">
      <c r="A44" s="28"/>
      <c r="B44" s="25"/>
      <c r="C44" s="25"/>
      <c r="D44" s="25"/>
      <c r="E44" s="27"/>
    </row>
    <row r="45" spans="1:6" x14ac:dyDescent="0.25">
      <c r="A45" s="24" t="s">
        <v>42</v>
      </c>
      <c r="B45" s="25"/>
      <c r="C45" s="25"/>
      <c r="D45" s="25" t="s">
        <v>28</v>
      </c>
      <c r="E45" s="27"/>
    </row>
    <row r="46" spans="1:6" x14ac:dyDescent="0.25">
      <c r="A46" s="17">
        <v>30</v>
      </c>
      <c r="B46" s="25" t="s">
        <v>21</v>
      </c>
      <c r="C46" s="25"/>
      <c r="D46" s="16">
        <f>D43-A46</f>
        <v>-52.127013839187839</v>
      </c>
      <c r="E46" s="27" t="s">
        <v>21</v>
      </c>
    </row>
    <row r="47" spans="1:6" x14ac:dyDescent="0.25">
      <c r="A47" s="28"/>
      <c r="B47" s="25"/>
      <c r="C47" s="25"/>
      <c r="D47" s="25"/>
      <c r="E47" s="27"/>
      <c r="F47" s="1"/>
    </row>
    <row r="48" spans="1:6" x14ac:dyDescent="0.25">
      <c r="A48" s="24" t="s">
        <v>43</v>
      </c>
      <c r="B48" s="25"/>
      <c r="C48" s="25"/>
      <c r="D48" s="25" t="s">
        <v>28</v>
      </c>
      <c r="E48" s="27"/>
    </row>
    <row r="49" spans="1:13" x14ac:dyDescent="0.25">
      <c r="A49" s="17">
        <v>10</v>
      </c>
      <c r="B49" s="25" t="s">
        <v>21</v>
      </c>
      <c r="C49" s="25"/>
      <c r="D49" s="16">
        <f>D46-A49</f>
        <v>-62.127013839187839</v>
      </c>
      <c r="E49" s="27" t="s">
        <v>21</v>
      </c>
    </row>
    <row r="50" spans="1:13" x14ac:dyDescent="0.25">
      <c r="A50" s="31"/>
      <c r="B50" s="2"/>
      <c r="C50" s="2"/>
      <c r="D50" s="2"/>
      <c r="E50" s="32"/>
    </row>
    <row r="51" spans="1:13" ht="18.75" x14ac:dyDescent="0.3">
      <c r="A51" s="33" t="s">
        <v>30</v>
      </c>
      <c r="B51" s="25"/>
      <c r="C51" s="25"/>
      <c r="D51" s="26" t="s">
        <v>31</v>
      </c>
      <c r="E51" s="27"/>
    </row>
    <row r="52" spans="1:13" ht="15.75" thickBot="1" x14ac:dyDescent="0.3">
      <c r="A52" s="34">
        <f>A49+A46+A43+A40+A31+A37+C33</f>
        <v>191.3345693947434</v>
      </c>
      <c r="B52" s="35" t="s">
        <v>21</v>
      </c>
      <c r="C52" s="35"/>
      <c r="D52" s="36">
        <f>A52-A25</f>
        <v>62.127013839187839</v>
      </c>
      <c r="E52" s="37" t="s">
        <v>21</v>
      </c>
    </row>
    <row r="62" spans="1:13" ht="90" x14ac:dyDescent="0.25">
      <c r="D62" s="39" t="s">
        <v>52</v>
      </c>
      <c r="E62" s="39" t="s">
        <v>53</v>
      </c>
      <c r="F62" s="39" t="s">
        <v>54</v>
      </c>
      <c r="G62" s="39" t="s">
        <v>55</v>
      </c>
      <c r="H62" s="39" t="s">
        <v>56</v>
      </c>
      <c r="I62" s="39" t="s">
        <v>57</v>
      </c>
      <c r="J62" s="39" t="s">
        <v>58</v>
      </c>
      <c r="K62" s="39" t="s">
        <v>59</v>
      </c>
      <c r="L62" s="39" t="s">
        <v>60</v>
      </c>
      <c r="M62" s="39" t="s">
        <v>61</v>
      </c>
    </row>
    <row r="63" spans="1:13" x14ac:dyDescent="0.25">
      <c r="D63" s="40">
        <v>1</v>
      </c>
      <c r="E63" s="41">
        <v>186.7</v>
      </c>
      <c r="F63" s="41">
        <v>0</v>
      </c>
      <c r="G63" s="41">
        <v>0</v>
      </c>
      <c r="H63" s="41">
        <v>1.65</v>
      </c>
      <c r="I63" s="41">
        <v>6</v>
      </c>
      <c r="J63" s="39">
        <v>194.35</v>
      </c>
      <c r="K63" s="41">
        <v>236.6</v>
      </c>
      <c r="L63" s="39">
        <v>163.25</v>
      </c>
      <c r="M63" s="39">
        <v>31.1</v>
      </c>
    </row>
    <row r="64" spans="1:13" x14ac:dyDescent="0.25">
      <c r="D64" s="40">
        <v>2</v>
      </c>
      <c r="E64" s="41">
        <v>53.3</v>
      </c>
      <c r="F64" s="41">
        <v>75</v>
      </c>
      <c r="G64" s="41">
        <v>10</v>
      </c>
      <c r="H64" s="41">
        <v>1.65</v>
      </c>
      <c r="I64" s="41">
        <v>6</v>
      </c>
      <c r="J64" s="39">
        <v>145.94999999999999</v>
      </c>
      <c r="K64" s="41">
        <v>236.6</v>
      </c>
      <c r="L64" s="39">
        <v>163.25</v>
      </c>
      <c r="M64" s="39" t="s">
        <v>62</v>
      </c>
    </row>
    <row r="65" spans="4:13" x14ac:dyDescent="0.25">
      <c r="D65" s="40">
        <v>3</v>
      </c>
      <c r="E65" s="41">
        <v>96</v>
      </c>
      <c r="F65" s="41">
        <v>25</v>
      </c>
      <c r="G65" s="41">
        <v>10</v>
      </c>
      <c r="H65" s="41">
        <v>1.65</v>
      </c>
      <c r="I65" s="41">
        <v>6</v>
      </c>
      <c r="J65" s="39">
        <v>138.65</v>
      </c>
      <c r="K65" s="41">
        <v>236.6</v>
      </c>
      <c r="L65" s="39">
        <v>163.25</v>
      </c>
      <c r="M65" s="39" t="s">
        <v>63</v>
      </c>
    </row>
  </sheetData>
  <hyperlinks>
    <hyperlink ref="A2" r:id="rId1" xr:uid="{E8CB8650-FE13-4F23-9AD4-B9DFE2E46B7C}"/>
    <hyperlink ref="B2" r:id="rId2" location=":~:text=After%20the%20first%20application%2C%20you,end%20of%20June)%20works%20well." xr:uid="{4EF6B3B4-7CB8-4022-87F7-0E69E3EA4181}"/>
    <hyperlink ref="G2" r:id="rId3" xr:uid="{E79971A9-5A08-4F3D-93C1-38B11B96D81F}"/>
  </hyperlinks>
  <pageMargins left="0.7" right="0.7" top="0.75" bottom="0.75" header="0.3" footer="0.3"/>
  <pageSetup orientation="portrait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5098B-A74C-4404-AB3A-F564E2461A83}">
  <dimension ref="A1"/>
  <sheetViews>
    <sheetView workbookViewId="0">
      <selection activeCell="A3" sqref="A3"/>
    </sheetView>
  </sheetViews>
  <sheetFormatPr defaultRowHeight="15" x14ac:dyDescent="0.25"/>
  <sheetData>
    <row r="1" spans="1:1" x14ac:dyDescent="0.25">
      <c r="A1" t="s">
        <v>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7cb1e9-24b5-43e0-9f5d-14a54474cc90">
      <Terms xmlns="http://schemas.microsoft.com/office/infopath/2007/PartnerControls"/>
    </lcf76f155ced4ddcb4097134ff3c332f>
    <TaxCatchAll xmlns="fbf6f0f6-9634-473c-8838-2f74fc79f71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8F2DA36292A241BB6B602A04ACAAD9" ma:contentTypeVersion="19" ma:contentTypeDescription="Create a new document." ma:contentTypeScope="" ma:versionID="593919c7c27075bbf5c317017a20383e">
  <xsd:schema xmlns:xsd="http://www.w3.org/2001/XMLSchema" xmlns:xs="http://www.w3.org/2001/XMLSchema" xmlns:p="http://schemas.microsoft.com/office/2006/metadata/properties" xmlns:ns2="167cb1e9-24b5-43e0-9f5d-14a54474cc90" xmlns:ns3="fbf6f0f6-9634-473c-8838-2f74fc79f714" targetNamespace="http://schemas.microsoft.com/office/2006/metadata/properties" ma:root="true" ma:fieldsID="adfdf50f2f8b280758b148ede56a996c" ns2:_="" ns3:_="">
    <xsd:import namespace="167cb1e9-24b5-43e0-9f5d-14a54474cc90"/>
    <xsd:import namespace="fbf6f0f6-9634-473c-8838-2f74fc79f7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7cb1e9-24b5-43e0-9f5d-14a54474cc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809afe7-41e7-411a-ade2-84efccde1b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f6f0f6-9634-473c-8838-2f74fc79f71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5f66235-b96d-4e13-a177-e10a401c611c}" ma:internalName="TaxCatchAll" ma:showField="CatchAllData" ma:web="fbf6f0f6-9634-473c-8838-2f74fc79f7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17A40A-FEAC-48C3-82AB-66F8317AED1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42BEF44-8101-4C41-9AB1-B1095D5DAB70}">
  <ds:schemaRefs>
    <ds:schemaRef ds:uri="http://schemas.microsoft.com/office/2006/metadata/properties"/>
    <ds:schemaRef ds:uri="http://schemas.microsoft.com/office/infopath/2007/PartnerControls"/>
    <ds:schemaRef ds:uri="167cb1e9-24b5-43e0-9f5d-14a54474cc90"/>
    <ds:schemaRef ds:uri="fbf6f0f6-9634-473c-8838-2f74fc79f714"/>
  </ds:schemaRefs>
</ds:datastoreItem>
</file>

<file path=customXml/itemProps3.xml><?xml version="1.0" encoding="utf-8"?>
<ds:datastoreItem xmlns:ds="http://schemas.openxmlformats.org/officeDocument/2006/customXml" ds:itemID="{3703AF9D-FE02-4340-B17E-4941BA2265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7cb1e9-24b5-43e0-9f5d-14a54474cc90"/>
    <ds:schemaRef ds:uri="fbf6f0f6-9634-473c-8838-2f74fc79f7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Competitive Plot</vt:lpstr>
      <vt:lpstr>Notes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A.J. Brown</dc:creator>
  <cp:keywords/>
  <dc:description/>
  <cp:lastModifiedBy>A.J. Brown</cp:lastModifiedBy>
  <cp:revision/>
  <dcterms:created xsi:type="dcterms:W3CDTF">2023-03-02T20:14:06Z</dcterms:created>
  <dcterms:modified xsi:type="dcterms:W3CDTF">2026-07-07T18:24:58Z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0x010100678F2DA36292A241BB6B602A04ACAAD9</vt:lpwstr>
  </property>
  <property fmtid="{D5CDD505-2E9C-101B-9397-08002B2CF9AE}" pid="3" name="MediaServiceImageTags">
    <vt:lpwstr/>
  </property>
</Properties>
</file>